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023F4FB-0AF0-45F4-94F4-951BC31D6B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1" l="1"/>
  <c r="D43" i="1"/>
  <c r="E43" i="1"/>
  <c r="F43" i="1"/>
  <c r="G43" i="1"/>
  <c r="H43" i="1"/>
  <c r="I43" i="1"/>
  <c r="J43" i="1"/>
  <c r="K43" i="1"/>
  <c r="L43" i="1"/>
  <c r="M43" i="1"/>
  <c r="N43" i="1"/>
  <c r="B43" i="1"/>
  <c r="C48" i="1"/>
  <c r="D48" i="1"/>
  <c r="E48" i="1"/>
  <c r="F48" i="1"/>
  <c r="G48" i="1"/>
  <c r="H48" i="1"/>
  <c r="I48" i="1"/>
  <c r="J48" i="1"/>
  <c r="K48" i="1"/>
  <c r="L48" i="1"/>
  <c r="M48" i="1"/>
  <c r="N48" i="1"/>
  <c r="B48" i="1"/>
  <c r="C54" i="1"/>
  <c r="D54" i="1"/>
  <c r="E54" i="1"/>
  <c r="F54" i="1"/>
  <c r="G54" i="1"/>
  <c r="H54" i="1"/>
  <c r="I54" i="1"/>
  <c r="J54" i="1"/>
  <c r="K54" i="1"/>
  <c r="L54" i="1"/>
  <c r="M54" i="1"/>
  <c r="N54" i="1"/>
  <c r="B54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7" i="1"/>
  <c r="M7" i="1"/>
  <c r="L7" i="1"/>
  <c r="K7" i="1"/>
  <c r="J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<sst xmlns="http://schemas.openxmlformats.org/spreadsheetml/2006/main" count="93" uniqueCount="29">
  <si>
    <t>Target</t>
  </si>
  <si>
    <t>ERM</t>
  </si>
  <si>
    <t>T3A</t>
  </si>
  <si>
    <t>OFTTA</t>
  </si>
  <si>
    <t>PL</t>
  </si>
  <si>
    <t>TENT</t>
  </si>
  <si>
    <t>LAME</t>
  </si>
  <si>
    <t>SHOT</t>
  </si>
  <si>
    <t>TSD</t>
  </si>
  <si>
    <t>TAST</t>
  </si>
  <si>
    <t>TEA</t>
  </si>
  <si>
    <t>NOTE</t>
  </si>
  <si>
    <t>SOTTA</t>
  </si>
  <si>
    <t>OURS</t>
  </si>
  <si>
    <t>UCI-HAR-0</t>
  </si>
  <si>
    <t>UCI-HAR-1</t>
  </si>
  <si>
    <t>UCI-HAR-2</t>
  </si>
  <si>
    <t>UCI-HAR-3</t>
  </si>
  <si>
    <t>UCI-HAR-4</t>
  </si>
  <si>
    <t>AVG</t>
  </si>
  <si>
    <t>OPP-S1</t>
  </si>
  <si>
    <t>OPP-S2</t>
  </si>
  <si>
    <t>OPP-S3</t>
  </si>
  <si>
    <t>OPP-S4</t>
  </si>
  <si>
    <t>PAMAP2-1</t>
  </si>
  <si>
    <t>PAMAP2-2</t>
  </si>
  <si>
    <t>PAMAP2-3</t>
  </si>
  <si>
    <t>PAMAP2-4</t>
  </si>
  <si>
    <t>PAMAP2-5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</si>
</sst>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2" xfId="0" applyFont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"/>
  <sheetViews>
    <sheetView tabSelected="1" topLeftCell="A31" zoomScale="55" zoomScaleNormal="55" workbookViewId="0">
      <selection activeCell="B43" sqref="B43:N43"/>
    </sheetView>
  </sheetViews>
  <sheetFormatPr defaultRowHeight="1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14</v>
      </c>
      <c r="B2">
        <v>60.26</v>
      </c>
      <c r="C2">
        <v>65.239999999999995</v>
      </c>
      <c r="D2">
        <v>66.81</v>
      </c>
      <c r="E2">
        <v>66.3</v>
      </c>
      <c r="F2">
        <v>64.23</v>
      </c>
      <c r="G2">
        <v>60.44</v>
      </c>
      <c r="H2">
        <v>64.27</v>
      </c>
      <c r="I2">
        <v>65.099999999999994</v>
      </c>
      <c r="J2">
        <v>57.62</v>
      </c>
      <c r="K2">
        <v>67.349999999999994</v>
      </c>
      <c r="L2">
        <v>58.83</v>
      </c>
      <c r="M2">
        <v>65.34</v>
      </c>
      <c r="N2" s="4">
        <v>65.92</v>
      </c>
    </row>
    <row r="3" spans="1:14" x14ac:dyDescent="0.3">
      <c r="A3" s="3" t="s">
        <v>15</v>
      </c>
      <c r="B3">
        <v>72.72</v>
      </c>
      <c r="C3">
        <v>75.53</v>
      </c>
      <c r="D3">
        <v>75.709999999999994</v>
      </c>
      <c r="E3">
        <v>76.28</v>
      </c>
      <c r="F3">
        <v>77.67</v>
      </c>
      <c r="G3">
        <v>69.55</v>
      </c>
      <c r="H3">
        <v>76.180000000000007</v>
      </c>
      <c r="I3">
        <v>74.66</v>
      </c>
      <c r="J3">
        <v>78.84</v>
      </c>
      <c r="K3">
        <v>71.260000000000005</v>
      </c>
      <c r="L3">
        <v>63.47</v>
      </c>
      <c r="M3">
        <v>77.48</v>
      </c>
      <c r="N3" s="4">
        <v>75.27</v>
      </c>
    </row>
    <row r="4" spans="1:14" x14ac:dyDescent="0.3">
      <c r="A4" s="3" t="s">
        <v>16</v>
      </c>
      <c r="B4">
        <v>63</v>
      </c>
      <c r="C4">
        <v>62.98</v>
      </c>
      <c r="D4">
        <v>70.23</v>
      </c>
      <c r="E4">
        <v>71.34</v>
      </c>
      <c r="F4">
        <v>72.56</v>
      </c>
      <c r="G4">
        <v>61.09</v>
      </c>
      <c r="H4">
        <v>73.05</v>
      </c>
      <c r="I4">
        <v>71.739999999999995</v>
      </c>
      <c r="J4">
        <v>64.209999999999994</v>
      </c>
      <c r="K4">
        <v>63.88</v>
      </c>
      <c r="L4">
        <v>63.25</v>
      </c>
      <c r="M4">
        <v>72.34</v>
      </c>
      <c r="N4" s="4">
        <v>69.510000000000005</v>
      </c>
    </row>
    <row r="5" spans="1:14" x14ac:dyDescent="0.3">
      <c r="A5" s="3" t="s">
        <v>17</v>
      </c>
      <c r="B5">
        <v>49.77</v>
      </c>
      <c r="C5">
        <v>61.19</v>
      </c>
      <c r="D5">
        <v>63.08</v>
      </c>
      <c r="E5">
        <v>53.33</v>
      </c>
      <c r="F5">
        <v>52.61</v>
      </c>
      <c r="G5">
        <v>49.6</v>
      </c>
      <c r="H5">
        <v>53.48</v>
      </c>
      <c r="I5">
        <v>54.06</v>
      </c>
      <c r="J5">
        <v>60.8</v>
      </c>
      <c r="K5">
        <v>63.44</v>
      </c>
      <c r="L5">
        <v>52.07</v>
      </c>
      <c r="M5">
        <v>52.87</v>
      </c>
      <c r="N5" s="4">
        <v>58.44</v>
      </c>
    </row>
    <row r="6" spans="1:14" x14ac:dyDescent="0.3">
      <c r="A6" s="3" t="s">
        <v>18</v>
      </c>
      <c r="B6">
        <v>55</v>
      </c>
      <c r="C6">
        <v>70.069999999999993</v>
      </c>
      <c r="D6">
        <v>76.16</v>
      </c>
      <c r="E6">
        <v>69.06</v>
      </c>
      <c r="F6">
        <v>70.08</v>
      </c>
      <c r="G6">
        <v>55.36</v>
      </c>
      <c r="H6">
        <v>68.599999999999994</v>
      </c>
      <c r="I6">
        <v>69.27</v>
      </c>
      <c r="J6">
        <v>70.64</v>
      </c>
      <c r="K6">
        <v>71.17</v>
      </c>
      <c r="L6">
        <v>50.48</v>
      </c>
      <c r="M6">
        <v>70.010000000000005</v>
      </c>
      <c r="N6" s="4">
        <v>62.35</v>
      </c>
    </row>
    <row r="7" spans="1:14" x14ac:dyDescent="0.3">
      <c r="A7" s="5" t="s">
        <v>19</v>
      </c>
      <c r="B7">
        <f t="shared" ref="B7:N7" si="0">AVERAGE(B2:B6)</f>
        <v>60.15</v>
      </c>
      <c r="C7">
        <f t="shared" si="0"/>
        <v>67.001999999999981</v>
      </c>
      <c r="D7">
        <f t="shared" si="0"/>
        <v>70.397999999999996</v>
      </c>
      <c r="E7">
        <f t="shared" si="0"/>
        <v>67.262</v>
      </c>
      <c r="F7">
        <f t="shared" si="0"/>
        <v>67.429999999999993</v>
      </c>
      <c r="G7">
        <f t="shared" si="0"/>
        <v>59.208000000000006</v>
      </c>
      <c r="H7">
        <f t="shared" si="0"/>
        <v>67.116000000000014</v>
      </c>
      <c r="I7">
        <f t="shared" si="0"/>
        <v>66.965999999999994</v>
      </c>
      <c r="J7">
        <f t="shared" si="0"/>
        <v>66.421999999999997</v>
      </c>
      <c r="K7">
        <f t="shared" si="0"/>
        <v>67.42</v>
      </c>
      <c r="L7">
        <f t="shared" si="0"/>
        <v>57.620000000000005</v>
      </c>
      <c r="M7">
        <f t="shared" si="0"/>
        <v>67.60799999999999</v>
      </c>
      <c r="N7" s="4">
        <f t="shared" si="0"/>
        <v>66.298000000000002</v>
      </c>
    </row>
    <row r="8" spans="1:14" x14ac:dyDescent="0.3">
      <c r="A8" s="5" t="s">
        <v>20</v>
      </c>
      <c r="B8">
        <v>66.239999999999995</v>
      </c>
      <c r="C8">
        <v>63.79</v>
      </c>
      <c r="D8">
        <v>63.05</v>
      </c>
      <c r="E8">
        <v>64.61</v>
      </c>
      <c r="F8">
        <v>65.25</v>
      </c>
      <c r="G8">
        <v>67.150000000000006</v>
      </c>
      <c r="H8">
        <v>64.48</v>
      </c>
      <c r="I8">
        <v>65.34</v>
      </c>
      <c r="J8">
        <v>65.760000000000005</v>
      </c>
      <c r="K8">
        <v>63.51</v>
      </c>
      <c r="L8">
        <v>62.76</v>
      </c>
      <c r="M8">
        <v>64.37</v>
      </c>
      <c r="N8" s="4">
        <v>66.650000000000006</v>
      </c>
    </row>
    <row r="9" spans="1:14" x14ac:dyDescent="0.3">
      <c r="A9" s="5" t="s">
        <v>21</v>
      </c>
      <c r="B9">
        <v>62.15</v>
      </c>
      <c r="C9">
        <v>60.23</v>
      </c>
      <c r="D9">
        <v>59.61</v>
      </c>
      <c r="E9">
        <v>64.69</v>
      </c>
      <c r="F9">
        <v>64.53</v>
      </c>
      <c r="G9">
        <v>64.290000000000006</v>
      </c>
      <c r="H9">
        <v>64.349999999999994</v>
      </c>
      <c r="I9">
        <v>64.02</v>
      </c>
      <c r="J9">
        <v>62.23</v>
      </c>
      <c r="K9">
        <v>64.78</v>
      </c>
      <c r="L9">
        <v>61.22</v>
      </c>
      <c r="M9">
        <v>64.14</v>
      </c>
      <c r="N9" s="4">
        <v>64.92</v>
      </c>
    </row>
    <row r="10" spans="1:14" x14ac:dyDescent="0.3">
      <c r="A10" s="5" t="s">
        <v>22</v>
      </c>
      <c r="B10">
        <v>61.12</v>
      </c>
      <c r="C10">
        <v>58.81</v>
      </c>
      <c r="D10">
        <v>58.1</v>
      </c>
      <c r="E10">
        <v>60.93</v>
      </c>
      <c r="F10">
        <v>59.33</v>
      </c>
      <c r="G10">
        <v>60.1</v>
      </c>
      <c r="H10">
        <v>58.87</v>
      </c>
      <c r="I10">
        <v>60.36</v>
      </c>
      <c r="J10">
        <v>58.97</v>
      </c>
      <c r="K10">
        <v>59.72</v>
      </c>
      <c r="L10">
        <v>56.63</v>
      </c>
      <c r="M10">
        <v>60.2</v>
      </c>
      <c r="N10" s="4">
        <v>61.58</v>
      </c>
    </row>
    <row r="11" spans="1:14" x14ac:dyDescent="0.3">
      <c r="A11" s="5" t="s">
        <v>23</v>
      </c>
      <c r="B11">
        <v>64.260000000000005</v>
      </c>
      <c r="C11">
        <v>63.19</v>
      </c>
      <c r="D11">
        <v>64.31</v>
      </c>
      <c r="E11">
        <v>65.989999999999995</v>
      </c>
      <c r="F11">
        <v>66.08</v>
      </c>
      <c r="G11">
        <v>66.849999999999994</v>
      </c>
      <c r="H11">
        <v>67.22</v>
      </c>
      <c r="I11">
        <v>67.53</v>
      </c>
      <c r="J11">
        <v>64.05</v>
      </c>
      <c r="K11">
        <v>69.569999999999993</v>
      </c>
      <c r="L11">
        <v>60.24</v>
      </c>
      <c r="M11">
        <v>66.41</v>
      </c>
      <c r="N11" s="4">
        <v>68.23</v>
      </c>
    </row>
    <row r="12" spans="1:14" x14ac:dyDescent="0.3">
      <c r="A12" s="5" t="s">
        <v>19</v>
      </c>
      <c r="B12">
        <f t="shared" ref="B12:N12" si="1">AVERAGE(B8:B11)</f>
        <v>63.442499999999995</v>
      </c>
      <c r="C12">
        <f t="shared" si="1"/>
        <v>61.504999999999995</v>
      </c>
      <c r="D12">
        <f t="shared" si="1"/>
        <v>61.267499999999998</v>
      </c>
      <c r="E12">
        <f t="shared" si="1"/>
        <v>64.055000000000007</v>
      </c>
      <c r="F12">
        <f t="shared" si="1"/>
        <v>63.797499999999999</v>
      </c>
      <c r="G12">
        <f t="shared" si="1"/>
        <v>64.597499999999997</v>
      </c>
      <c r="H12">
        <f t="shared" si="1"/>
        <v>63.73</v>
      </c>
      <c r="I12">
        <f t="shared" si="1"/>
        <v>64.3125</v>
      </c>
      <c r="J12">
        <f t="shared" si="1"/>
        <v>62.752499999999998</v>
      </c>
      <c r="K12">
        <f t="shared" si="1"/>
        <v>64.394999999999996</v>
      </c>
      <c r="L12">
        <f t="shared" si="1"/>
        <v>60.212499999999999</v>
      </c>
      <c r="M12">
        <f t="shared" si="1"/>
        <v>63.779999999999994</v>
      </c>
      <c r="N12" s="4">
        <f t="shared" si="1"/>
        <v>65.344999999999999</v>
      </c>
    </row>
    <row r="13" spans="1:14" x14ac:dyDescent="0.3">
      <c r="A13" s="5" t="s">
        <v>24</v>
      </c>
      <c r="B13">
        <v>67.349999999999994</v>
      </c>
      <c r="C13">
        <v>79.66</v>
      </c>
      <c r="D13">
        <v>70.8</v>
      </c>
      <c r="E13">
        <v>64.16</v>
      </c>
      <c r="F13">
        <v>64.87</v>
      </c>
      <c r="G13">
        <v>69.11</v>
      </c>
      <c r="H13">
        <v>63.84</v>
      </c>
      <c r="I13">
        <v>63.23</v>
      </c>
      <c r="J13">
        <v>72.989999999999995</v>
      </c>
      <c r="K13">
        <v>63.95</v>
      </c>
      <c r="L13">
        <v>65.3</v>
      </c>
      <c r="M13">
        <v>65.12</v>
      </c>
      <c r="N13" s="4">
        <v>75.02</v>
      </c>
    </row>
    <row r="14" spans="1:14" x14ac:dyDescent="0.3">
      <c r="A14" s="5" t="s">
        <v>25</v>
      </c>
      <c r="B14">
        <v>69.849999999999994</v>
      </c>
      <c r="C14">
        <v>72.569999999999993</v>
      </c>
      <c r="D14">
        <v>75.36</v>
      </c>
      <c r="E14">
        <v>70.680000000000007</v>
      </c>
      <c r="F14">
        <v>71.680000000000007</v>
      </c>
      <c r="G14">
        <v>72.680000000000007</v>
      </c>
      <c r="H14">
        <v>71.569999999999993</v>
      </c>
      <c r="I14">
        <v>73</v>
      </c>
      <c r="J14">
        <v>66.040000000000006</v>
      </c>
      <c r="K14">
        <v>69.47</v>
      </c>
      <c r="L14">
        <v>63.47</v>
      </c>
      <c r="M14">
        <v>73.209999999999994</v>
      </c>
      <c r="N14" s="4">
        <v>74.2</v>
      </c>
    </row>
    <row r="15" spans="1:14" x14ac:dyDescent="0.3">
      <c r="A15" s="5" t="s">
        <v>26</v>
      </c>
      <c r="B15">
        <v>48.58</v>
      </c>
      <c r="C15">
        <v>43.64</v>
      </c>
      <c r="D15">
        <v>44.68</v>
      </c>
      <c r="E15">
        <v>50.16</v>
      </c>
      <c r="F15">
        <v>50.38</v>
      </c>
      <c r="G15">
        <v>49.69</v>
      </c>
      <c r="H15">
        <v>50.53</v>
      </c>
      <c r="I15">
        <v>50.43</v>
      </c>
      <c r="J15">
        <v>39.68</v>
      </c>
      <c r="K15">
        <v>44.75</v>
      </c>
      <c r="L15">
        <v>44.38</v>
      </c>
      <c r="M15">
        <v>50.73</v>
      </c>
      <c r="N15" s="4">
        <v>50.8</v>
      </c>
    </row>
    <row r="16" spans="1:14" x14ac:dyDescent="0.3">
      <c r="A16" s="5" t="s">
        <v>27</v>
      </c>
      <c r="B16">
        <v>70.23</v>
      </c>
      <c r="C16">
        <v>66.319999999999993</v>
      </c>
      <c r="D16">
        <v>66.790000000000006</v>
      </c>
      <c r="E16">
        <v>68.680000000000007</v>
      </c>
      <c r="F16">
        <v>69.91</v>
      </c>
      <c r="G16">
        <v>74.44</v>
      </c>
      <c r="H16">
        <v>69.319999999999993</v>
      </c>
      <c r="I16">
        <v>68.75</v>
      </c>
      <c r="J16">
        <v>60.14</v>
      </c>
      <c r="K16">
        <v>67.81</v>
      </c>
      <c r="L16">
        <v>62.1</v>
      </c>
      <c r="M16">
        <v>67.8</v>
      </c>
      <c r="N16" s="4">
        <v>73.099999999999994</v>
      </c>
    </row>
    <row r="17" spans="1:14" x14ac:dyDescent="0.3">
      <c r="A17" s="5" t="s">
        <v>28</v>
      </c>
      <c r="B17">
        <v>80.34</v>
      </c>
      <c r="C17">
        <v>83.85</v>
      </c>
      <c r="D17">
        <v>82.71</v>
      </c>
      <c r="E17">
        <v>76.05</v>
      </c>
      <c r="F17">
        <v>76.64</v>
      </c>
      <c r="G17">
        <v>82.68</v>
      </c>
      <c r="H17">
        <v>77.2</v>
      </c>
      <c r="I17">
        <v>77.569999999999993</v>
      </c>
      <c r="J17">
        <v>79.959999999999994</v>
      </c>
      <c r="K17">
        <v>82.5</v>
      </c>
      <c r="L17">
        <v>69.42</v>
      </c>
      <c r="M17">
        <v>75.37</v>
      </c>
      <c r="N17" s="4">
        <v>82.09</v>
      </c>
    </row>
    <row r="18" spans="1:14" x14ac:dyDescent="0.3">
      <c r="A18" s="6" t="s">
        <v>19</v>
      </c>
      <c r="B18" s="7">
        <f t="shared" ref="B18:N18" si="2">AVERAGE(B13:B17)</f>
        <v>67.27000000000001</v>
      </c>
      <c r="C18" s="7">
        <f t="shared" si="2"/>
        <v>69.207999999999998</v>
      </c>
      <c r="D18" s="7">
        <f t="shared" si="2"/>
        <v>68.067999999999998</v>
      </c>
      <c r="E18" s="7">
        <f t="shared" si="2"/>
        <v>65.945999999999998</v>
      </c>
      <c r="F18" s="7">
        <f t="shared" si="2"/>
        <v>66.695999999999998</v>
      </c>
      <c r="G18" s="7">
        <f t="shared" si="2"/>
        <v>69.72</v>
      </c>
      <c r="H18" s="7">
        <f t="shared" si="2"/>
        <v>66.49199999999999</v>
      </c>
      <c r="I18" s="7">
        <f t="shared" si="2"/>
        <v>66.596000000000004</v>
      </c>
      <c r="J18" s="7">
        <f t="shared" si="2"/>
        <v>63.762</v>
      </c>
      <c r="K18" s="7">
        <f t="shared" si="2"/>
        <v>65.695999999999998</v>
      </c>
      <c r="L18" s="7">
        <f t="shared" si="2"/>
        <v>60.93399999999999</v>
      </c>
      <c r="M18" s="7">
        <f t="shared" si="2"/>
        <v>66.445999999999998</v>
      </c>
      <c r="N18" s="7">
        <f t="shared" si="2"/>
        <v>71.042000000000002</v>
      </c>
    </row>
    <row r="19" spans="1:14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  <c r="L19" s="1" t="s">
        <v>11</v>
      </c>
      <c r="M19" s="1" t="s">
        <v>12</v>
      </c>
      <c r="N19" s="1" t="s">
        <v>13</v>
      </c>
    </row>
    <row r="20" spans="1:14" x14ac:dyDescent="0.3">
      <c r="A20" s="8" t="s">
        <v>14</v>
      </c>
      <c r="B20">
        <v>60.26</v>
      </c>
      <c r="C20" s="9">
        <v>64.77</v>
      </c>
      <c r="D20" s="9">
        <v>57.38</v>
      </c>
      <c r="E20" s="9">
        <v>50.25</v>
      </c>
      <c r="F20" s="9">
        <v>50.75</v>
      </c>
      <c r="G20" s="9">
        <v>60.53</v>
      </c>
      <c r="H20" s="9">
        <v>49.5</v>
      </c>
      <c r="I20" s="9">
        <v>49.2</v>
      </c>
      <c r="J20" s="9">
        <v>62.58</v>
      </c>
      <c r="K20">
        <v>48.85</v>
      </c>
      <c r="L20" s="9">
        <v>49.82</v>
      </c>
      <c r="M20" s="9">
        <v>50.1</v>
      </c>
      <c r="N20" s="10">
        <v>62.85</v>
      </c>
    </row>
    <row r="21" spans="1:14" x14ac:dyDescent="0.3">
      <c r="A21" s="3" t="s">
        <v>15</v>
      </c>
      <c r="B21">
        <v>72.72</v>
      </c>
      <c r="C21">
        <v>75.56</v>
      </c>
      <c r="D21">
        <v>56.58</v>
      </c>
      <c r="E21">
        <v>56.11</v>
      </c>
      <c r="F21">
        <v>54.23</v>
      </c>
      <c r="G21">
        <v>71.239999999999995</v>
      </c>
      <c r="H21">
        <v>54.43</v>
      </c>
      <c r="I21">
        <v>54.6</v>
      </c>
      <c r="J21">
        <v>73.150000000000006</v>
      </c>
      <c r="K21">
        <v>54.7</v>
      </c>
      <c r="L21">
        <v>47.92</v>
      </c>
      <c r="M21">
        <v>54.73</v>
      </c>
      <c r="N21" s="4">
        <v>74.27</v>
      </c>
    </row>
    <row r="22" spans="1:14" x14ac:dyDescent="0.3">
      <c r="A22" s="3" t="s">
        <v>16</v>
      </c>
      <c r="B22">
        <v>63</v>
      </c>
      <c r="C22">
        <v>61.57</v>
      </c>
      <c r="D22">
        <v>53.24</v>
      </c>
      <c r="E22">
        <v>51.52</v>
      </c>
      <c r="F22">
        <v>50.84</v>
      </c>
      <c r="G22">
        <v>63.61</v>
      </c>
      <c r="H22">
        <v>50.78</v>
      </c>
      <c r="I22">
        <v>50.19</v>
      </c>
      <c r="J22">
        <v>62.91</v>
      </c>
      <c r="K22">
        <v>54.33</v>
      </c>
      <c r="L22">
        <v>55.33</v>
      </c>
      <c r="M22">
        <v>51.03</v>
      </c>
      <c r="N22" s="4">
        <v>62.5</v>
      </c>
    </row>
    <row r="23" spans="1:14" x14ac:dyDescent="0.3">
      <c r="A23" s="3" t="s">
        <v>17</v>
      </c>
      <c r="B23">
        <v>49.77</v>
      </c>
      <c r="C23">
        <v>61.01</v>
      </c>
      <c r="D23">
        <v>51.89</v>
      </c>
      <c r="E23">
        <v>50.5</v>
      </c>
      <c r="F23">
        <v>51.91</v>
      </c>
      <c r="G23">
        <v>47.66</v>
      </c>
      <c r="H23">
        <v>52.06</v>
      </c>
      <c r="I23">
        <v>52.4</v>
      </c>
      <c r="J23">
        <v>55.75</v>
      </c>
      <c r="K23">
        <v>46.98</v>
      </c>
      <c r="L23">
        <v>46.54</v>
      </c>
      <c r="M23">
        <v>52.34</v>
      </c>
      <c r="N23" s="4">
        <v>56.99</v>
      </c>
    </row>
    <row r="24" spans="1:14" x14ac:dyDescent="0.3">
      <c r="A24" s="3" t="s">
        <v>18</v>
      </c>
      <c r="B24">
        <v>55</v>
      </c>
      <c r="C24">
        <v>62.81</v>
      </c>
      <c r="D24">
        <v>52.05</v>
      </c>
      <c r="E24">
        <v>45.77</v>
      </c>
      <c r="F24">
        <v>44.01</v>
      </c>
      <c r="G24">
        <v>53.35</v>
      </c>
      <c r="H24">
        <v>44.15</v>
      </c>
      <c r="I24">
        <v>45.02</v>
      </c>
      <c r="J24">
        <v>63.89</v>
      </c>
      <c r="K24">
        <v>45.81</v>
      </c>
      <c r="L24">
        <v>41.43</v>
      </c>
      <c r="M24">
        <v>44.25</v>
      </c>
      <c r="N24" s="4">
        <v>62.75</v>
      </c>
    </row>
    <row r="25" spans="1:14" x14ac:dyDescent="0.3">
      <c r="A25" s="5" t="s">
        <v>19</v>
      </c>
      <c r="B25">
        <f t="shared" ref="B25:N25" si="3">AVERAGE(B20:B24)</f>
        <v>60.15</v>
      </c>
      <c r="C25">
        <f t="shared" si="3"/>
        <v>65.143999999999991</v>
      </c>
      <c r="D25">
        <f t="shared" si="3"/>
        <v>54.228000000000009</v>
      </c>
      <c r="E25">
        <f t="shared" si="3"/>
        <v>50.83</v>
      </c>
      <c r="F25">
        <f t="shared" si="3"/>
        <v>50.347999999999999</v>
      </c>
      <c r="G25">
        <f t="shared" si="3"/>
        <v>59.277999999999999</v>
      </c>
      <c r="H25">
        <f t="shared" si="3"/>
        <v>50.184000000000005</v>
      </c>
      <c r="I25">
        <f t="shared" si="3"/>
        <v>50.282000000000004</v>
      </c>
      <c r="J25">
        <f t="shared" si="3"/>
        <v>63.656000000000006</v>
      </c>
      <c r="K25">
        <f t="shared" si="3"/>
        <v>50.134</v>
      </c>
      <c r="L25">
        <f t="shared" si="3"/>
        <v>48.207999999999998</v>
      </c>
      <c r="M25">
        <f t="shared" si="3"/>
        <v>50.49</v>
      </c>
      <c r="N25">
        <f t="shared" si="3"/>
        <v>63.872</v>
      </c>
    </row>
    <row r="26" spans="1:14" x14ac:dyDescent="0.3">
      <c r="A26" s="5" t="s">
        <v>20</v>
      </c>
      <c r="B26">
        <v>66.239999999999995</v>
      </c>
      <c r="C26">
        <v>63.08</v>
      </c>
      <c r="D26">
        <v>63.45</v>
      </c>
      <c r="E26">
        <v>64.239999999999995</v>
      </c>
      <c r="F26">
        <v>65.14</v>
      </c>
      <c r="G26">
        <v>62.58</v>
      </c>
      <c r="H26">
        <v>62.07</v>
      </c>
      <c r="I26">
        <v>56.69</v>
      </c>
      <c r="J26">
        <v>65.13</v>
      </c>
      <c r="K26">
        <v>64.41</v>
      </c>
      <c r="L26">
        <v>60.49</v>
      </c>
      <c r="M26">
        <v>63.61</v>
      </c>
      <c r="N26" s="4">
        <v>66.27</v>
      </c>
    </row>
    <row r="27" spans="1:14" x14ac:dyDescent="0.3">
      <c r="A27" s="5" t="s">
        <v>21</v>
      </c>
      <c r="B27">
        <v>62.15</v>
      </c>
      <c r="C27">
        <v>58.16</v>
      </c>
      <c r="D27">
        <v>56.79</v>
      </c>
      <c r="E27">
        <v>57.49</v>
      </c>
      <c r="F27">
        <v>59.62</v>
      </c>
      <c r="G27">
        <v>59.82</v>
      </c>
      <c r="H27">
        <v>58.96</v>
      </c>
      <c r="I27">
        <v>54.66</v>
      </c>
      <c r="J27">
        <v>62.8</v>
      </c>
      <c r="K27">
        <v>59.3</v>
      </c>
      <c r="L27">
        <v>58.65</v>
      </c>
      <c r="M27">
        <v>58.93</v>
      </c>
      <c r="N27" s="4">
        <v>64.86</v>
      </c>
    </row>
    <row r="28" spans="1:14" x14ac:dyDescent="0.3">
      <c r="A28" s="5" t="s">
        <v>22</v>
      </c>
      <c r="B28">
        <v>61.12</v>
      </c>
      <c r="C28">
        <v>57.73</v>
      </c>
      <c r="D28">
        <v>54.49</v>
      </c>
      <c r="E28">
        <v>53.65</v>
      </c>
      <c r="F28">
        <v>52.54</v>
      </c>
      <c r="G28">
        <v>58.68</v>
      </c>
      <c r="H28">
        <v>55.14</v>
      </c>
      <c r="I28">
        <v>50.83</v>
      </c>
      <c r="J28">
        <v>59.18</v>
      </c>
      <c r="K28">
        <v>49.49</v>
      </c>
      <c r="L28">
        <v>52.52</v>
      </c>
      <c r="M28">
        <v>56.24</v>
      </c>
      <c r="N28" s="4">
        <v>62.9</v>
      </c>
    </row>
    <row r="29" spans="1:14" x14ac:dyDescent="0.3">
      <c r="A29" s="5" t="s">
        <v>23</v>
      </c>
      <c r="B29">
        <v>64.260000000000005</v>
      </c>
      <c r="C29">
        <v>65.260000000000005</v>
      </c>
      <c r="D29">
        <v>59.49</v>
      </c>
      <c r="E29">
        <v>62.06</v>
      </c>
      <c r="F29">
        <v>60.94</v>
      </c>
      <c r="G29">
        <v>58.95</v>
      </c>
      <c r="H29">
        <v>60.89</v>
      </c>
      <c r="I29">
        <v>56.9</v>
      </c>
      <c r="J29">
        <v>64.56</v>
      </c>
      <c r="K29">
        <v>51.37</v>
      </c>
      <c r="L29">
        <v>56.29</v>
      </c>
      <c r="M29">
        <v>62.08</v>
      </c>
      <c r="N29" s="4">
        <v>67.47</v>
      </c>
    </row>
    <row r="30" spans="1:14" x14ac:dyDescent="0.3">
      <c r="A30" s="5" t="s">
        <v>19</v>
      </c>
      <c r="B30">
        <f t="shared" ref="B30:N30" si="4">AVERAGE(B26:B29)</f>
        <v>63.442499999999995</v>
      </c>
      <c r="C30">
        <f t="shared" si="4"/>
        <v>61.057500000000005</v>
      </c>
      <c r="D30">
        <f t="shared" si="4"/>
        <v>58.555000000000007</v>
      </c>
      <c r="E30">
        <f t="shared" si="4"/>
        <v>59.36</v>
      </c>
      <c r="F30">
        <f t="shared" si="4"/>
        <v>59.559999999999995</v>
      </c>
      <c r="G30">
        <f t="shared" si="4"/>
        <v>60.007500000000007</v>
      </c>
      <c r="H30">
        <f t="shared" si="4"/>
        <v>59.265000000000001</v>
      </c>
      <c r="I30">
        <f t="shared" si="4"/>
        <v>54.77</v>
      </c>
      <c r="J30">
        <f t="shared" si="4"/>
        <v>62.917499999999997</v>
      </c>
      <c r="K30">
        <f t="shared" si="4"/>
        <v>56.142499999999998</v>
      </c>
      <c r="L30">
        <f t="shared" si="4"/>
        <v>56.987499999999997</v>
      </c>
      <c r="M30">
        <f t="shared" si="4"/>
        <v>60.215000000000003</v>
      </c>
      <c r="N30">
        <f t="shared" si="4"/>
        <v>65.375</v>
      </c>
    </row>
    <row r="31" spans="1:14" x14ac:dyDescent="0.3">
      <c r="A31" s="5" t="s">
        <v>24</v>
      </c>
      <c r="B31">
        <v>67.349999999999994</v>
      </c>
      <c r="C31">
        <v>79.83</v>
      </c>
      <c r="D31">
        <v>60.85</v>
      </c>
      <c r="E31">
        <v>64.349999999999994</v>
      </c>
      <c r="F31">
        <v>65.349999999999994</v>
      </c>
      <c r="G31">
        <v>72.55</v>
      </c>
      <c r="H31">
        <v>64.56</v>
      </c>
      <c r="I31">
        <v>63.99</v>
      </c>
      <c r="J31">
        <v>75.63</v>
      </c>
      <c r="K31">
        <v>60.05</v>
      </c>
      <c r="L31">
        <v>64.37</v>
      </c>
      <c r="M31">
        <v>63.45</v>
      </c>
      <c r="N31" s="4">
        <v>75.09</v>
      </c>
    </row>
    <row r="32" spans="1:14" x14ac:dyDescent="0.3">
      <c r="A32" s="5" t="s">
        <v>25</v>
      </c>
      <c r="B32">
        <v>69.849999999999994</v>
      </c>
      <c r="C32">
        <v>72.14</v>
      </c>
      <c r="D32">
        <v>69.91</v>
      </c>
      <c r="E32">
        <v>64.02</v>
      </c>
      <c r="F32">
        <v>62.79</v>
      </c>
      <c r="G32">
        <v>72.75</v>
      </c>
      <c r="H32">
        <v>64.180000000000007</v>
      </c>
      <c r="I32">
        <v>63.7</v>
      </c>
      <c r="J32">
        <v>64.64</v>
      </c>
      <c r="K32">
        <v>62.47</v>
      </c>
      <c r="L32">
        <v>64.22</v>
      </c>
      <c r="M32">
        <v>63.16</v>
      </c>
      <c r="N32" s="4">
        <v>75.34</v>
      </c>
    </row>
    <row r="33" spans="1:21" x14ac:dyDescent="0.3">
      <c r="A33" s="5" t="s">
        <v>26</v>
      </c>
      <c r="B33">
        <v>48.58</v>
      </c>
      <c r="C33">
        <v>40.81</v>
      </c>
      <c r="D33">
        <v>41.18</v>
      </c>
      <c r="E33">
        <v>43.02</v>
      </c>
      <c r="F33">
        <v>43.11</v>
      </c>
      <c r="G33">
        <v>49.48</v>
      </c>
      <c r="H33">
        <v>43.95</v>
      </c>
      <c r="I33">
        <v>44.98</v>
      </c>
      <c r="J33">
        <v>38.32</v>
      </c>
      <c r="K33">
        <v>44.21</v>
      </c>
      <c r="L33">
        <v>43.85</v>
      </c>
      <c r="M33">
        <v>44.77</v>
      </c>
      <c r="N33" s="4">
        <v>49.24</v>
      </c>
    </row>
    <row r="34" spans="1:21" x14ac:dyDescent="0.3">
      <c r="A34" s="5" t="s">
        <v>27</v>
      </c>
      <c r="B34">
        <v>70.23</v>
      </c>
      <c r="C34">
        <v>66.7</v>
      </c>
      <c r="D34">
        <v>54.62</v>
      </c>
      <c r="E34">
        <v>61.97</v>
      </c>
      <c r="F34">
        <v>61.81</v>
      </c>
      <c r="G34">
        <v>75.349999999999994</v>
      </c>
      <c r="H34">
        <v>60.67</v>
      </c>
      <c r="I34">
        <v>59.57</v>
      </c>
      <c r="J34">
        <v>66.03</v>
      </c>
      <c r="K34">
        <v>61.76</v>
      </c>
      <c r="L34">
        <v>61.57</v>
      </c>
      <c r="M34">
        <v>60.66</v>
      </c>
      <c r="N34" s="4">
        <v>73.75</v>
      </c>
    </row>
    <row r="35" spans="1:21" x14ac:dyDescent="0.3">
      <c r="A35" s="5" t="s">
        <v>28</v>
      </c>
      <c r="B35">
        <v>80.34</v>
      </c>
      <c r="C35">
        <v>85.37</v>
      </c>
      <c r="D35">
        <v>72.069999999999993</v>
      </c>
      <c r="E35">
        <v>67.599999999999994</v>
      </c>
      <c r="F35">
        <v>67.92</v>
      </c>
      <c r="G35">
        <v>83.05</v>
      </c>
      <c r="H35">
        <v>68.3</v>
      </c>
      <c r="I35">
        <v>67.94</v>
      </c>
      <c r="J35">
        <v>79.77</v>
      </c>
      <c r="K35">
        <v>69.209999999999994</v>
      </c>
      <c r="L35">
        <v>69.319999999999993</v>
      </c>
      <c r="M35">
        <v>68.55</v>
      </c>
      <c r="N35" s="4">
        <v>81.98</v>
      </c>
    </row>
    <row r="36" spans="1:21" x14ac:dyDescent="0.3">
      <c r="A36" s="6" t="s">
        <v>19</v>
      </c>
      <c r="B36" s="7">
        <f t="shared" ref="B36:N36" si="5">AVERAGE(B31:B35)</f>
        <v>67.27000000000001</v>
      </c>
      <c r="C36" s="7">
        <f t="shared" si="5"/>
        <v>68.97</v>
      </c>
      <c r="D36" s="7">
        <f t="shared" si="5"/>
        <v>59.725999999999999</v>
      </c>
      <c r="E36" s="7">
        <f t="shared" si="5"/>
        <v>60.192000000000007</v>
      </c>
      <c r="F36" s="7">
        <f t="shared" si="5"/>
        <v>60.196000000000005</v>
      </c>
      <c r="G36" s="7">
        <f t="shared" si="5"/>
        <v>70.635999999999996</v>
      </c>
      <c r="H36" s="7">
        <f t="shared" si="5"/>
        <v>60.332000000000008</v>
      </c>
      <c r="I36" s="7">
        <f t="shared" si="5"/>
        <v>60.035999999999987</v>
      </c>
      <c r="J36" s="7">
        <f t="shared" si="5"/>
        <v>64.878</v>
      </c>
      <c r="K36" s="7">
        <f t="shared" si="5"/>
        <v>59.54</v>
      </c>
      <c r="L36" s="7">
        <f t="shared" si="5"/>
        <v>60.665999999999997</v>
      </c>
      <c r="M36" s="7">
        <f t="shared" si="5"/>
        <v>60.117999999999995</v>
      </c>
      <c r="N36" s="7">
        <f t="shared" si="5"/>
        <v>71.080000000000013</v>
      </c>
      <c r="S36" s="7"/>
      <c r="U36" s="7"/>
    </row>
    <row r="37" spans="1:21" x14ac:dyDescent="0.3">
      <c r="A37" s="13" t="s">
        <v>0</v>
      </c>
      <c r="B37" s="15" t="s">
        <v>1</v>
      </c>
      <c r="C37" s="15" t="s">
        <v>2</v>
      </c>
      <c r="D37" s="15" t="s">
        <v>3</v>
      </c>
      <c r="E37" s="15" t="s">
        <v>4</v>
      </c>
      <c r="F37" s="15" t="s">
        <v>5</v>
      </c>
      <c r="G37" s="15" t="s">
        <v>6</v>
      </c>
      <c r="H37" s="15" t="s">
        <v>7</v>
      </c>
      <c r="I37" s="15" t="s">
        <v>8</v>
      </c>
      <c r="J37" s="15" t="s">
        <v>9</v>
      </c>
      <c r="K37" s="15" t="s">
        <v>10</v>
      </c>
      <c r="L37" s="15" t="s">
        <v>11</v>
      </c>
      <c r="M37" s="15" t="s">
        <v>12</v>
      </c>
      <c r="N37" s="15" t="s">
        <v>13</v>
      </c>
      <c r="S37" s="1"/>
      <c r="U37" s="1"/>
    </row>
    <row r="38" spans="1:21" x14ac:dyDescent="0.3">
      <c r="A38" s="8" t="s">
        <v>14</v>
      </c>
      <c r="B38">
        <v>60.26</v>
      </c>
      <c r="C38" s="14">
        <v>68.260000000000005</v>
      </c>
      <c r="D38" s="14">
        <v>54.14</v>
      </c>
      <c r="E38" s="14">
        <v>44.29</v>
      </c>
      <c r="F38" s="14">
        <v>49.48</v>
      </c>
      <c r="G38" s="14">
        <v>65.69</v>
      </c>
      <c r="H38" s="14">
        <v>43.32</v>
      </c>
      <c r="I38" s="14">
        <v>48.84</v>
      </c>
      <c r="J38" s="14">
        <v>68.39</v>
      </c>
      <c r="K38" s="14">
        <v>45.28</v>
      </c>
      <c r="L38" s="14">
        <v>47.95</v>
      </c>
      <c r="M38" s="14">
        <v>44.27</v>
      </c>
      <c r="N38" s="14">
        <v>68.040000000000006</v>
      </c>
      <c r="S38" s="9"/>
      <c r="U38" s="9"/>
    </row>
    <row r="39" spans="1:21" x14ac:dyDescent="0.3">
      <c r="A39" s="3" t="s">
        <v>15</v>
      </c>
      <c r="B39">
        <v>72.72</v>
      </c>
      <c r="C39" s="14">
        <v>75.64</v>
      </c>
      <c r="D39" s="14">
        <v>57.78</v>
      </c>
      <c r="E39" s="14">
        <v>52.73</v>
      </c>
      <c r="F39" s="14">
        <v>52.78</v>
      </c>
      <c r="G39" s="14">
        <v>71.11</v>
      </c>
      <c r="H39" s="14">
        <v>48.69</v>
      </c>
      <c r="I39" s="14">
        <v>52.43</v>
      </c>
      <c r="J39" s="14">
        <v>77.67</v>
      </c>
      <c r="K39" s="14">
        <v>53.69</v>
      </c>
      <c r="L39" s="14">
        <v>47.72</v>
      </c>
      <c r="M39" s="14">
        <v>49.2</v>
      </c>
      <c r="N39" s="14">
        <v>76.180000000000007</v>
      </c>
    </row>
    <row r="40" spans="1:21" x14ac:dyDescent="0.3">
      <c r="A40" s="3" t="s">
        <v>16</v>
      </c>
      <c r="B40">
        <v>63</v>
      </c>
      <c r="C40" s="14">
        <v>59.8</v>
      </c>
      <c r="D40" s="14">
        <v>58.87</v>
      </c>
      <c r="E40" s="14">
        <v>50.59</v>
      </c>
      <c r="F40" s="14">
        <v>54.94</v>
      </c>
      <c r="G40" s="14">
        <v>61.91</v>
      </c>
      <c r="H40" s="14">
        <v>54.44</v>
      </c>
      <c r="I40" s="14">
        <v>51.6</v>
      </c>
      <c r="J40" s="14">
        <v>64.709999999999994</v>
      </c>
      <c r="K40" s="14">
        <v>51.22</v>
      </c>
      <c r="L40" s="14">
        <v>55.09</v>
      </c>
      <c r="M40" s="14">
        <v>53</v>
      </c>
      <c r="N40" s="14">
        <v>63.65</v>
      </c>
    </row>
    <row r="41" spans="1:21" x14ac:dyDescent="0.3">
      <c r="A41" s="3" t="s">
        <v>17</v>
      </c>
      <c r="B41">
        <v>49.77</v>
      </c>
      <c r="C41" s="14">
        <v>63.07</v>
      </c>
      <c r="D41" s="14">
        <v>48.74</v>
      </c>
      <c r="E41" s="14">
        <v>45.99</v>
      </c>
      <c r="F41" s="14">
        <v>48.53</v>
      </c>
      <c r="G41" s="14">
        <v>50.58</v>
      </c>
      <c r="H41" s="14">
        <v>41.39</v>
      </c>
      <c r="I41" s="14">
        <v>46.85</v>
      </c>
      <c r="J41" s="14">
        <v>62.32</v>
      </c>
      <c r="K41" s="14">
        <v>42.35</v>
      </c>
      <c r="L41" s="14">
        <v>43.79</v>
      </c>
      <c r="M41" s="14">
        <v>44.95</v>
      </c>
      <c r="N41" s="14">
        <v>62.2</v>
      </c>
    </row>
    <row r="42" spans="1:21" x14ac:dyDescent="0.3">
      <c r="A42" s="3" t="s">
        <v>18</v>
      </c>
      <c r="B42">
        <v>55</v>
      </c>
      <c r="C42" s="14">
        <v>66.72</v>
      </c>
      <c r="D42" s="14">
        <v>47.87</v>
      </c>
      <c r="E42" s="14">
        <v>43.42</v>
      </c>
      <c r="F42" s="14">
        <v>43.06</v>
      </c>
      <c r="G42" s="14">
        <v>56.46</v>
      </c>
      <c r="H42" s="14">
        <v>41.87</v>
      </c>
      <c r="I42" s="14">
        <v>43.37</v>
      </c>
      <c r="J42" s="14">
        <v>69.75</v>
      </c>
      <c r="K42" s="14">
        <v>47.3</v>
      </c>
      <c r="L42" s="14">
        <v>38.92</v>
      </c>
      <c r="M42" s="14">
        <v>45.1</v>
      </c>
      <c r="N42" s="14">
        <v>63.66</v>
      </c>
    </row>
    <row r="43" spans="1:21" x14ac:dyDescent="0.3">
      <c r="A43" s="5" t="s">
        <v>19</v>
      </c>
      <c r="B43" s="15">
        <f>AVERAGE(B38:B42)</f>
        <v>60.15</v>
      </c>
      <c r="C43" s="15">
        <f t="shared" ref="C43:N43" si="6">AVERAGE(C38:C42)</f>
        <v>66.698000000000008</v>
      </c>
      <c r="D43" s="15">
        <f t="shared" si="6"/>
        <v>53.48</v>
      </c>
      <c r="E43" s="15">
        <f t="shared" si="6"/>
        <v>47.404000000000011</v>
      </c>
      <c r="F43" s="15">
        <f t="shared" si="6"/>
        <v>49.757999999999996</v>
      </c>
      <c r="G43" s="15">
        <f t="shared" si="6"/>
        <v>61.15</v>
      </c>
      <c r="H43" s="15">
        <f t="shared" si="6"/>
        <v>45.941999999999993</v>
      </c>
      <c r="I43" s="15">
        <f t="shared" si="6"/>
        <v>48.618000000000002</v>
      </c>
      <c r="J43" s="15">
        <f t="shared" si="6"/>
        <v>68.567999999999998</v>
      </c>
      <c r="K43" s="15">
        <f t="shared" si="6"/>
        <v>47.967999999999996</v>
      </c>
      <c r="L43" s="15">
        <f t="shared" si="6"/>
        <v>46.693999999999996</v>
      </c>
      <c r="M43" s="15">
        <f t="shared" si="6"/>
        <v>47.304000000000002</v>
      </c>
      <c r="N43" s="15">
        <f t="shared" si="6"/>
        <v>66.746000000000009</v>
      </c>
    </row>
    <row r="44" spans="1:21" x14ac:dyDescent="0.3">
      <c r="A44" s="5" t="s">
        <v>20</v>
      </c>
      <c r="B44">
        <v>66.239999999999995</v>
      </c>
      <c r="C44" s="14">
        <v>61.39</v>
      </c>
      <c r="D44" s="14">
        <v>60.3</v>
      </c>
      <c r="E44" s="14">
        <v>59.61</v>
      </c>
      <c r="F44" s="14">
        <v>62.65</v>
      </c>
      <c r="G44" s="14">
        <v>66.87</v>
      </c>
      <c r="H44" s="14">
        <v>55.4</v>
      </c>
      <c r="I44" s="14">
        <v>44.78</v>
      </c>
      <c r="J44" s="14">
        <v>66.31</v>
      </c>
      <c r="K44" s="14">
        <v>61.18</v>
      </c>
      <c r="L44" s="14">
        <v>57.08</v>
      </c>
      <c r="M44" s="14">
        <v>58.88</v>
      </c>
      <c r="N44" s="14">
        <v>70.86</v>
      </c>
    </row>
    <row r="45" spans="1:21" x14ac:dyDescent="0.3">
      <c r="A45" s="5" t="s">
        <v>21</v>
      </c>
      <c r="B45">
        <v>62.15</v>
      </c>
      <c r="C45" s="14">
        <v>61.58</v>
      </c>
      <c r="D45" s="14">
        <v>51.89</v>
      </c>
      <c r="E45" s="14">
        <v>48.23</v>
      </c>
      <c r="F45" s="14">
        <v>58.44</v>
      </c>
      <c r="G45" s="14">
        <v>58.14</v>
      </c>
      <c r="H45" s="14">
        <v>50.42</v>
      </c>
      <c r="I45" s="14">
        <v>40.72</v>
      </c>
      <c r="J45" s="14">
        <v>63.58</v>
      </c>
      <c r="K45" s="14">
        <v>56.7</v>
      </c>
      <c r="L45" s="14">
        <v>47.44</v>
      </c>
      <c r="M45" s="14">
        <v>55.63</v>
      </c>
      <c r="N45" s="14">
        <v>65.62</v>
      </c>
    </row>
    <row r="46" spans="1:21" x14ac:dyDescent="0.3">
      <c r="A46" s="5" t="s">
        <v>22</v>
      </c>
      <c r="B46">
        <v>61.12</v>
      </c>
      <c r="C46" s="14">
        <v>55.44</v>
      </c>
      <c r="D46" s="14">
        <v>51.05</v>
      </c>
      <c r="E46" s="14">
        <v>38.94</v>
      </c>
      <c r="F46" s="14">
        <v>44.94</v>
      </c>
      <c r="G46" s="14">
        <v>62.69</v>
      </c>
      <c r="H46" s="14">
        <v>45.2</v>
      </c>
      <c r="I46" s="14">
        <v>31.63</v>
      </c>
      <c r="J46" s="14">
        <v>60.06</v>
      </c>
      <c r="K46" s="14">
        <v>40.14</v>
      </c>
      <c r="L46" s="14">
        <v>39.93</v>
      </c>
      <c r="M46" s="14">
        <v>49.2</v>
      </c>
      <c r="N46" s="14">
        <v>64.92</v>
      </c>
    </row>
    <row r="47" spans="1:21" x14ac:dyDescent="0.3">
      <c r="A47" s="5" t="s">
        <v>23</v>
      </c>
      <c r="B47">
        <v>64.260000000000005</v>
      </c>
      <c r="C47" s="14">
        <v>66.03</v>
      </c>
      <c r="D47" s="14">
        <v>56.36</v>
      </c>
      <c r="E47" s="14">
        <v>55.64</v>
      </c>
      <c r="F47" s="14">
        <v>58.65</v>
      </c>
      <c r="G47" s="14">
        <v>61.83</v>
      </c>
      <c r="H47" s="14">
        <v>56.48</v>
      </c>
      <c r="I47" s="14">
        <v>49.26</v>
      </c>
      <c r="J47" s="14">
        <v>66.91</v>
      </c>
      <c r="K47" s="14">
        <v>43.96</v>
      </c>
      <c r="L47" s="14">
        <v>52.69</v>
      </c>
      <c r="M47" s="14">
        <v>58.44</v>
      </c>
      <c r="N47" s="14">
        <v>66.94</v>
      </c>
    </row>
    <row r="48" spans="1:21" x14ac:dyDescent="0.3">
      <c r="A48" s="5" t="s">
        <v>19</v>
      </c>
      <c r="B48" s="15">
        <f>AVERAGE(B44:B47)</f>
        <v>63.442499999999995</v>
      </c>
      <c r="C48" s="15">
        <f t="shared" ref="C48:N48" si="7">AVERAGE(C44:C47)</f>
        <v>61.11</v>
      </c>
      <c r="D48" s="15">
        <f t="shared" si="7"/>
        <v>54.900000000000006</v>
      </c>
      <c r="E48" s="15">
        <f t="shared" si="7"/>
        <v>50.605000000000004</v>
      </c>
      <c r="F48" s="15">
        <f t="shared" si="7"/>
        <v>56.17</v>
      </c>
      <c r="G48" s="15">
        <f t="shared" si="7"/>
        <v>62.382499999999993</v>
      </c>
      <c r="H48" s="15">
        <f t="shared" si="7"/>
        <v>51.874999999999993</v>
      </c>
      <c r="I48" s="15">
        <f t="shared" si="7"/>
        <v>41.597499999999997</v>
      </c>
      <c r="J48" s="15">
        <f t="shared" si="7"/>
        <v>64.215000000000003</v>
      </c>
      <c r="K48" s="15">
        <f t="shared" si="7"/>
        <v>50.494999999999997</v>
      </c>
      <c r="L48" s="15">
        <f t="shared" si="7"/>
        <v>49.284999999999997</v>
      </c>
      <c r="M48" s="15">
        <f t="shared" si="7"/>
        <v>55.537500000000001</v>
      </c>
      <c r="N48" s="15">
        <f t="shared" si="7"/>
        <v>67.085000000000008</v>
      </c>
    </row>
    <row r="49" spans="1:17" x14ac:dyDescent="0.3">
      <c r="A49" s="5" t="s">
        <v>24</v>
      </c>
      <c r="B49">
        <v>67.349999999999994</v>
      </c>
      <c r="C49" s="14">
        <v>82.77</v>
      </c>
      <c r="D49" s="14">
        <v>63.44</v>
      </c>
      <c r="E49" s="14">
        <v>61.66</v>
      </c>
      <c r="F49" s="14">
        <v>61.76</v>
      </c>
      <c r="G49" s="14">
        <v>69.650000000000006</v>
      </c>
      <c r="H49" s="14">
        <v>63.14</v>
      </c>
      <c r="I49" s="14">
        <v>61.79</v>
      </c>
      <c r="J49" s="14">
        <v>77.92</v>
      </c>
      <c r="K49" s="14">
        <v>62.29</v>
      </c>
      <c r="L49" s="14">
        <v>63.26</v>
      </c>
      <c r="M49" s="14">
        <v>62.64</v>
      </c>
      <c r="N49" s="14">
        <v>77.14</v>
      </c>
    </row>
    <row r="50" spans="1:17" x14ac:dyDescent="0.3">
      <c r="A50" s="5" t="s">
        <v>25</v>
      </c>
      <c r="B50">
        <v>69.849999999999994</v>
      </c>
      <c r="C50" s="14">
        <v>70.05</v>
      </c>
      <c r="D50" s="14">
        <v>64.040000000000006</v>
      </c>
      <c r="E50" s="14">
        <v>61.27</v>
      </c>
      <c r="F50" s="14">
        <v>62.94</v>
      </c>
      <c r="G50" s="14">
        <v>75.28</v>
      </c>
      <c r="H50" s="14">
        <v>60.35</v>
      </c>
      <c r="I50" s="14">
        <v>62.83</v>
      </c>
      <c r="J50" s="14">
        <v>62.42</v>
      </c>
      <c r="K50" s="14">
        <v>59.99</v>
      </c>
      <c r="L50" s="14">
        <v>60.97</v>
      </c>
      <c r="M50" s="14">
        <v>61.29</v>
      </c>
      <c r="N50" s="14">
        <v>77.94</v>
      </c>
    </row>
    <row r="51" spans="1:17" x14ac:dyDescent="0.3">
      <c r="A51" s="5" t="s">
        <v>26</v>
      </c>
      <c r="B51">
        <v>48.58</v>
      </c>
      <c r="C51" s="14">
        <v>38.24</v>
      </c>
      <c r="D51" s="14">
        <v>37.5</v>
      </c>
      <c r="E51" s="14">
        <v>42.16</v>
      </c>
      <c r="F51" s="14">
        <v>40.06</v>
      </c>
      <c r="G51" s="14">
        <v>52.83</v>
      </c>
      <c r="H51" s="14">
        <v>40.33</v>
      </c>
      <c r="I51" s="14">
        <v>40.9</v>
      </c>
      <c r="J51" s="14">
        <v>37.07</v>
      </c>
      <c r="K51" s="14">
        <v>36.28</v>
      </c>
      <c r="L51" s="14">
        <v>40.04</v>
      </c>
      <c r="M51" s="14">
        <v>41.78</v>
      </c>
      <c r="N51" s="14">
        <v>51.59</v>
      </c>
    </row>
    <row r="52" spans="1:17" x14ac:dyDescent="0.3">
      <c r="A52" s="5" t="s">
        <v>27</v>
      </c>
      <c r="B52">
        <v>70.23</v>
      </c>
      <c r="C52" s="14">
        <v>63.39</v>
      </c>
      <c r="D52" s="14">
        <v>55.23</v>
      </c>
      <c r="E52" s="14">
        <v>58.03</v>
      </c>
      <c r="F52" s="14">
        <v>58.35</v>
      </c>
      <c r="G52" s="14">
        <v>77.88</v>
      </c>
      <c r="H52" s="14">
        <v>59.36</v>
      </c>
      <c r="I52" s="14">
        <v>57.74</v>
      </c>
      <c r="J52" s="14">
        <v>62.47</v>
      </c>
      <c r="K52" s="14">
        <v>52.67</v>
      </c>
      <c r="L52" s="14">
        <v>60.25</v>
      </c>
      <c r="M52" s="14">
        <v>59.76</v>
      </c>
      <c r="N52" s="14">
        <v>75.040000000000006</v>
      </c>
    </row>
    <row r="53" spans="1:17" x14ac:dyDescent="0.3">
      <c r="A53" s="5" t="s">
        <v>28</v>
      </c>
      <c r="B53">
        <v>80.34</v>
      </c>
      <c r="C53" s="14">
        <v>87.22</v>
      </c>
      <c r="D53" s="14">
        <v>68.27</v>
      </c>
      <c r="E53" s="14">
        <v>64.959999999999994</v>
      </c>
      <c r="F53" s="14">
        <v>70.73</v>
      </c>
      <c r="G53" s="14">
        <v>81.42</v>
      </c>
      <c r="H53" s="14">
        <v>64.09</v>
      </c>
      <c r="I53" s="14">
        <v>69.680000000000007</v>
      </c>
      <c r="J53" s="14">
        <v>83.99</v>
      </c>
      <c r="K53" s="14">
        <v>78.02</v>
      </c>
      <c r="L53" s="14">
        <v>67.430000000000007</v>
      </c>
      <c r="M53" s="14">
        <v>69.09</v>
      </c>
      <c r="N53" s="14">
        <v>85.26</v>
      </c>
    </row>
    <row r="54" spans="1:17" x14ac:dyDescent="0.3">
      <c r="A54" s="6" t="s">
        <v>19</v>
      </c>
      <c r="B54" s="15">
        <f>AVERAGE(B49:B53)</f>
        <v>67.27000000000001</v>
      </c>
      <c r="C54" s="15">
        <f t="shared" ref="C54:N54" si="8">AVERAGE(C49:C53)</f>
        <v>68.333999999999989</v>
      </c>
      <c r="D54" s="15">
        <f t="shared" si="8"/>
        <v>57.696000000000005</v>
      </c>
      <c r="E54" s="15">
        <f t="shared" si="8"/>
        <v>57.616</v>
      </c>
      <c r="F54" s="15">
        <f t="shared" si="8"/>
        <v>58.767999999999994</v>
      </c>
      <c r="G54" s="15">
        <f t="shared" si="8"/>
        <v>71.412000000000006</v>
      </c>
      <c r="H54" s="15">
        <f t="shared" si="8"/>
        <v>57.453999999999994</v>
      </c>
      <c r="I54" s="15">
        <f t="shared" si="8"/>
        <v>58.588000000000008</v>
      </c>
      <c r="J54" s="15">
        <f t="shared" si="8"/>
        <v>64.774000000000001</v>
      </c>
      <c r="K54" s="15">
        <f t="shared" si="8"/>
        <v>57.85</v>
      </c>
      <c r="L54" s="15">
        <f t="shared" si="8"/>
        <v>58.39</v>
      </c>
      <c r="M54" s="15">
        <f t="shared" si="8"/>
        <v>58.911999999999999</v>
      </c>
      <c r="N54" s="15">
        <f t="shared" si="8"/>
        <v>73.393999999999991</v>
      </c>
    </row>
    <row r="58" spans="1:17" x14ac:dyDescent="0.3">
      <c r="Q58" s="2"/>
    </row>
    <row r="59" spans="1:17" x14ac:dyDescent="0.3">
      <c r="Q59" s="11"/>
    </row>
    <row r="62" spans="1:17" x14ac:dyDescent="0.3">
      <c r="Q62" s="2"/>
    </row>
    <row r="63" spans="1:17" x14ac:dyDescent="0.3">
      <c r="Q63" s="11"/>
    </row>
    <row r="75" spans="10:10" x14ac:dyDescent="0.3">
      <c r="J75" s="12"/>
    </row>
    <row r="76" spans="10:10" x14ac:dyDescent="0.3">
      <c r="J76" s="12"/>
    </row>
    <row r="77" spans="10:10" x14ac:dyDescent="0.3">
      <c r="J77" s="12"/>
    </row>
    <row r="78" spans="10:10" x14ac:dyDescent="0.3">
      <c r="J78" s="12"/>
    </row>
    <row r="79" spans="10:10" x14ac:dyDescent="0.3">
      <c r="J79" s="12"/>
    </row>
    <row r="80" spans="10:10" x14ac:dyDescent="0.3">
      <c r="J80" s="12"/>
    </row>
    <row r="81" spans="10:10" x14ac:dyDescent="0.3">
      <c r="J81" s="12"/>
    </row>
    <row r="82" spans="10:10" x14ac:dyDescent="0.3">
      <c r="J82" s="1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Johnson</dc:creator>
  <cp:lastModifiedBy>Young Johnson</cp:lastModifiedBy>
  <dcterms:created xsi:type="dcterms:W3CDTF">2015-06-05T18:17:20Z</dcterms:created>
  <dcterms:modified xsi:type="dcterms:W3CDTF">2026-09-03T04:09:28Z</dcterms:modified>
</cp:coreProperties>
</file>